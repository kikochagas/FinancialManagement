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Movimentos" sheetId="2" state="visible" r:id="rId4"/>
    <sheet name="Resumo Mensal" sheetId="3" state="visible" r:id="rId5"/>
    <sheet name="Despesas Fixas" sheetId="4" state="visible" r:id="rId6"/>
    <sheet name="Património" sheetId="5" state="visible" r:id="rId7"/>
    <sheet name="Objetivos" sheetId="6" state="visible" r:id="rId8"/>
    <sheet name="IRS" sheetId="7" state="visible" r:id="rId9"/>
    <sheet name="Alocação" sheetId="8" state="visible" r:id="rId10"/>
    <sheet name="Investimentos" sheetId="9" state="visible" r:id="rId11"/>
    <sheet name="Evoluçã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<sst xmlns="http://schemas.openxmlformats.org/spreadsheetml/2006/main" count="248" uniqueCount="114">
  <si>
    <t xml:space="preserve">Indicador</t>
  </si>
  <si>
    <t xml:space="preserve">Valor</t>
  </si>
  <si>
    <t xml:space="preserve">Património Total</t>
  </si>
  <si>
    <t xml:space="preserve">Banco</t>
  </si>
  <si>
    <t xml:space="preserve">Trade Republic</t>
  </si>
  <si>
    <t xml:space="preserve">Ações + Cripto</t>
  </si>
  <si>
    <t xml:space="preserve">IRS por pagar</t>
  </si>
  <si>
    <t xml:space="preserve">Despesas Mensais</t>
  </si>
  <si>
    <t xml:space="preserve">Data</t>
  </si>
  <si>
    <t xml:space="preserve">Tipo</t>
  </si>
  <si>
    <t xml:space="preserve">Categoria</t>
  </si>
  <si>
    <t xml:space="preserve">Descrição</t>
  </si>
  <si>
    <t xml:space="preserve">Valor (€)</t>
  </si>
  <si>
    <t xml:space="preserve">Conta</t>
  </si>
  <si>
    <t xml:space="preserve">25/06/2026</t>
  </si>
  <si>
    <t xml:space="preserve">Entrada</t>
  </si>
  <si>
    <t xml:space="preserve">Subsidio Alimentação</t>
  </si>
  <si>
    <t xml:space="preserve">Amaris</t>
  </si>
  <si>
    <t xml:space="preserve">Coverflex</t>
  </si>
  <si>
    <t xml:space="preserve">25/06/2027</t>
  </si>
  <si>
    <t xml:space="preserve">Beneficios Coverflex</t>
  </si>
  <si>
    <t xml:space="preserve">26/06/2026</t>
  </si>
  <si>
    <t xml:space="preserve">Salário Junho + Sub Ferias</t>
  </si>
  <si>
    <t xml:space="preserve">3,277,96</t>
  </si>
  <si>
    <t xml:space="preserve">Saída</t>
  </si>
  <si>
    <t xml:space="preserve">Subsidio Alimentação – Amaris</t>
  </si>
  <si>
    <t xml:space="preserve">Almoço</t>
  </si>
  <si>
    <t xml:space="preserve">Lazer</t>
  </si>
  <si>
    <t xml:space="preserve">27/06/2026</t>
  </si>
  <si>
    <t xml:space="preserve">Almoço pais</t>
  </si>
  <si>
    <t xml:space="preserve">29/06/2026</t>
  </si>
  <si>
    <t xml:space="preserve">Salario Junho</t>
  </si>
  <si>
    <t xml:space="preserve">Human IT</t>
  </si>
  <si>
    <t xml:space="preserve">1,874,40</t>
  </si>
  <si>
    <t xml:space="preserve">Sub Ferias</t>
  </si>
  <si>
    <t xml:space="preserve">1,421,00</t>
  </si>
  <si>
    <t xml:space="preserve">Saida</t>
  </si>
  <si>
    <t xml:space="preserve">Pagamento cartao credito</t>
  </si>
  <si>
    <t xml:space="preserve">Transf para Trade Republic</t>
  </si>
  <si>
    <t xml:space="preserve">30/06/2026</t>
  </si>
  <si>
    <t xml:space="preserve">Ajuda familiar</t>
  </si>
  <si>
    <t xml:space="preserve">Transferência</t>
  </si>
  <si>
    <t xml:space="preserve">Recebido na Trade Republic</t>
  </si>
  <si>
    <t xml:space="preserve">Investimento</t>
  </si>
  <si>
    <t xml:space="preserve">Compra Bitcoin</t>
  </si>
  <si>
    <t xml:space="preserve">01/07/2026</t>
  </si>
  <si>
    <t xml:space="preserve">Pagamento Deco</t>
  </si>
  <si>
    <t xml:space="preserve">Mbway Broa</t>
  </si>
  <si>
    <t xml:space="preserve">02/07/2026</t>
  </si>
  <si>
    <t xml:space="preserve">Mbway feira</t>
  </si>
  <si>
    <t xml:space="preserve">03/07/2026</t>
  </si>
  <si>
    <t xml:space="preserve">Restaurante</t>
  </si>
  <si>
    <t xml:space="preserve">04/07/2026</t>
  </si>
  <si>
    <t xml:space="preserve">trabalho</t>
  </si>
  <si>
    <t xml:space="preserve">Rede Expressos</t>
  </si>
  <si>
    <t xml:space="preserve">05/07/2026</t>
  </si>
  <si>
    <t xml:space="preserve">Paypal</t>
  </si>
  <si>
    <t xml:space="preserve">Rafael</t>
  </si>
  <si>
    <t xml:space="preserve">Levantamento</t>
  </si>
  <si>
    <t xml:space="preserve">06/07/2026</t>
  </si>
  <si>
    <t xml:space="preserve">Universo</t>
  </si>
  <si>
    <t xml:space="preserve">Prestação Maq.</t>
  </si>
  <si>
    <t xml:space="preserve">Mbway Miguel</t>
  </si>
  <si>
    <t xml:space="preserve">07/07/2026</t>
  </si>
  <si>
    <t xml:space="preserve">Roupa</t>
  </si>
  <si>
    <t xml:space="preserve">C&amp;A</t>
  </si>
  <si>
    <t xml:space="preserve">08/07/2026</t>
  </si>
  <si>
    <t xml:space="preserve">Serviço</t>
  </si>
  <si>
    <t xml:space="preserve">Uber</t>
  </si>
  <si>
    <t xml:space="preserve">09/07/2026</t>
  </si>
  <si>
    <t xml:space="preserve">Open AI</t>
  </si>
  <si>
    <t xml:space="preserve">Salario Julho</t>
  </si>
  <si>
    <t xml:space="preserve">LCG</t>
  </si>
  <si>
    <t xml:space="preserve">Mês</t>
  </si>
  <si>
    <t xml:space="preserve">Entradas</t>
  </si>
  <si>
    <t xml:space="preserve">Saídas</t>
  </si>
  <si>
    <t xml:space="preserve">Saldo</t>
  </si>
  <si>
    <t xml:space="preserve">Taxa Poupança</t>
  </si>
  <si>
    <t xml:space="preserve">Julho 2026</t>
  </si>
  <si>
    <t xml:space="preserve">Mensal (€)</t>
  </si>
  <si>
    <t xml:space="preserve">Fatura</t>
  </si>
  <si>
    <t xml:space="preserve">DECO</t>
  </si>
  <si>
    <t xml:space="preserve">ChatGPT Plus</t>
  </si>
  <si>
    <t xml:space="preserve">Gasolina</t>
  </si>
  <si>
    <t xml:space="preserve">Ginásio</t>
  </si>
  <si>
    <t xml:space="preserve">Lisboa</t>
  </si>
  <si>
    <t xml:space="preserve">Ajuda Familiar</t>
  </si>
  <si>
    <t xml:space="preserve">Seguro Saúde</t>
  </si>
  <si>
    <t xml:space="preserve">Seguro Carro</t>
  </si>
  <si>
    <t xml:space="preserve">Manutenção Carro</t>
  </si>
  <si>
    <t xml:space="preserve">Alimentação</t>
  </si>
  <si>
    <t xml:space="preserve">Lazer/Imprevistos</t>
  </si>
  <si>
    <t xml:space="preserve">TOTAL</t>
  </si>
  <si>
    <t xml:space="preserve">Coverflex 1</t>
  </si>
  <si>
    <t xml:space="preserve">Coverflex 2</t>
  </si>
  <si>
    <t xml:space="preserve">Cripto/Ações</t>
  </si>
  <si>
    <t xml:space="preserve">Outros</t>
  </si>
  <si>
    <t xml:space="preserve">Total</t>
  </si>
  <si>
    <t xml:space="preserve">Objetivo</t>
  </si>
  <si>
    <t xml:space="preserve">Atual</t>
  </si>
  <si>
    <t xml:space="preserve">Meta</t>
  </si>
  <si>
    <t xml:space="preserve">Falta</t>
  </si>
  <si>
    <t xml:space="preserve">Reserva IRS</t>
  </si>
  <si>
    <t xml:space="preserve">Fundo Emergência</t>
  </si>
  <si>
    <t xml:space="preserve">Casa Elvas</t>
  </si>
  <si>
    <t xml:space="preserve">IRS Estimado</t>
  </si>
  <si>
    <t xml:space="preserve">Pago</t>
  </si>
  <si>
    <t xml:space="preserve">Em Dívida</t>
  </si>
  <si>
    <t xml:space="preserve">Casa</t>
  </si>
  <si>
    <t xml:space="preserve">Ativo</t>
  </si>
  <si>
    <t xml:space="preserve">Ações</t>
  </si>
  <si>
    <t xml:space="preserve">Bitcoin</t>
  </si>
  <si>
    <t xml:space="preserve">Património</t>
  </si>
  <si>
    <t xml:space="preserve">Jun/2026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</si>
</sst>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n">
        <f aca="false">Património!H2</f>
        <v>40101.96</v>
      </c>
    </row>
    <row r="3" customFormat="false" ht="15" hidden="false" customHeight="false" outlineLevel="0" collapsed="false">
      <c r="A3" s="1" t="s">
        <v>3</v>
      </c>
      <c r="B3" s="1" t="n">
        <f aca="false">Património!B2</f>
        <v>2000</v>
      </c>
    </row>
    <row r="4" customFormat="false" ht="15" hidden="false" customHeight="false" outlineLevel="0" collapsed="false">
      <c r="A4" s="1" t="s">
        <v>4</v>
      </c>
      <c r="B4" s="1" t="n">
        <f aca="false">Património!E2</f>
        <v>35326.96</v>
      </c>
    </row>
    <row r="5" customFormat="false" ht="15" hidden="false" customHeight="false" outlineLevel="0" collapsed="false">
      <c r="A5" s="1" t="s">
        <v>5</v>
      </c>
      <c r="B5" s="1" t="n">
        <f aca="false">Património!F2</f>
        <v>2775</v>
      </c>
    </row>
    <row r="6" customFormat="false" ht="15" hidden="false" customHeight="false" outlineLevel="0" collapsed="false">
      <c r="A6" s="1" t="s">
        <v>6</v>
      </c>
      <c r="B6" s="1" t="n">
        <f aca="false">IRS!B4</f>
        <v>11000</v>
      </c>
    </row>
    <row r="7" customFormat="false" ht="15" hidden="false" customHeight="false" outlineLevel="0" collapsed="false">
      <c r="A7" s="1" t="s">
        <v>7</v>
      </c>
      <c r="B7" s="1" t="n">
        <f aca="false">SUM('Despesas Fixas'!B2:B13)</f>
        <v>1993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1" width="22"/>
  </cols>
  <sheetData>
    <row r="1" customFormat="false" ht="15" hidden="false" customHeight="false" outlineLevel="0" collapsed="false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s">
        <v>17</v>
      </c>
      <c r="E2" s="1" t="n">
        <v>172.8</v>
      </c>
      <c r="F2" s="1" t="s">
        <v>18</v>
      </c>
    </row>
    <row r="3" customFormat="false" ht="15" hidden="false" customHeight="false" outlineLevel="0" collapsed="false">
      <c r="A3" s="1" t="s">
        <v>19</v>
      </c>
      <c r="B3" s="1" t="s">
        <v>15</v>
      </c>
      <c r="C3" s="1" t="s">
        <v>20</v>
      </c>
      <c r="D3" s="1" t="s">
        <v>17</v>
      </c>
      <c r="E3" s="1" t="n">
        <v>202.5</v>
      </c>
      <c r="F3" s="1" t="s">
        <v>18</v>
      </c>
    </row>
    <row r="4" customFormat="false" ht="15" hidden="false" customHeight="false" outlineLevel="0" collapsed="false">
      <c r="A4" s="1" t="s">
        <v>21</v>
      </c>
      <c r="B4" s="1" t="s">
        <v>15</v>
      </c>
      <c r="C4" s="1" t="s">
        <v>22</v>
      </c>
      <c r="D4" s="1" t="s">
        <v>17</v>
      </c>
      <c r="E4" s="1" t="s">
        <v>23</v>
      </c>
      <c r="F4" s="1" t="s">
        <v>3</v>
      </c>
    </row>
    <row r="5" customFormat="false" ht="15" hidden="false" customHeight="false" outlineLevel="0" collapsed="false">
      <c r="A5" s="1" t="s">
        <v>21</v>
      </c>
      <c r="B5" s="1" t="s">
        <v>24</v>
      </c>
      <c r="C5" s="1" t="s">
        <v>25</v>
      </c>
      <c r="D5" s="1" t="s">
        <v>26</v>
      </c>
      <c r="E5" s="1" t="n">
        <v>13</v>
      </c>
      <c r="F5" s="1" t="s">
        <v>18</v>
      </c>
    </row>
    <row r="6" customFormat="false" ht="15" hidden="false" customHeight="false" outlineLevel="0" collapsed="false">
      <c r="A6" s="1" t="s">
        <v>21</v>
      </c>
      <c r="B6" s="1" t="s">
        <v>24</v>
      </c>
      <c r="C6" s="1" t="s">
        <v>3</v>
      </c>
      <c r="D6" s="1" t="s">
        <v>27</v>
      </c>
      <c r="E6" s="1" t="n">
        <v>9.1</v>
      </c>
      <c r="F6" s="1" t="s">
        <v>3</v>
      </c>
    </row>
    <row r="7" customFormat="false" ht="15" hidden="false" customHeight="false" outlineLevel="0" collapsed="false">
      <c r="A7" s="1" t="s">
        <v>28</v>
      </c>
      <c r="B7" s="1" t="s">
        <v>24</v>
      </c>
      <c r="C7" s="1" t="s">
        <v>25</v>
      </c>
      <c r="D7" s="1" t="s">
        <v>29</v>
      </c>
      <c r="E7" s="1" t="n">
        <v>89.6</v>
      </c>
      <c r="F7" s="1" t="s">
        <v>18</v>
      </c>
    </row>
    <row r="8" customFormat="false" ht="15" hidden="false" customHeight="false" outlineLevel="0" collapsed="false">
      <c r="A8" s="1" t="s">
        <v>30</v>
      </c>
      <c r="B8" s="1" t="s">
        <v>15</v>
      </c>
      <c r="C8" s="1" t="s">
        <v>31</v>
      </c>
      <c r="D8" s="1" t="s">
        <v>32</v>
      </c>
      <c r="E8" s="1" t="s">
        <v>33</v>
      </c>
      <c r="F8" s="1" t="s">
        <v>3</v>
      </c>
    </row>
    <row r="9" customFormat="false" ht="15" hidden="false" customHeight="false" outlineLevel="0" collapsed="false">
      <c r="A9" s="1" t="s">
        <v>30</v>
      </c>
      <c r="B9" s="1" t="s">
        <v>15</v>
      </c>
      <c r="C9" s="1" t="s">
        <v>34</v>
      </c>
      <c r="D9" s="1" t="s">
        <v>32</v>
      </c>
      <c r="E9" s="1" t="s">
        <v>35</v>
      </c>
      <c r="F9" s="1" t="s">
        <v>3</v>
      </c>
    </row>
    <row r="10" customFormat="false" ht="15" hidden="false" customHeight="false" outlineLevel="0" collapsed="false">
      <c r="A10" s="1" t="s">
        <v>30</v>
      </c>
      <c r="B10" s="1" t="s">
        <v>36</v>
      </c>
      <c r="C10" s="1" t="s">
        <v>3</v>
      </c>
      <c r="D10" s="1" t="s">
        <v>37</v>
      </c>
      <c r="E10" s="1" t="n">
        <v>500</v>
      </c>
      <c r="F10" s="1" t="s">
        <v>3</v>
      </c>
    </row>
    <row r="11" customFormat="false" ht="15" hidden="false" customHeight="false" outlineLevel="0" collapsed="false">
      <c r="A11" s="1" t="s">
        <v>30</v>
      </c>
      <c r="B11" s="1" t="s">
        <v>36</v>
      </c>
      <c r="C11" s="1" t="s">
        <v>3</v>
      </c>
      <c r="D11" s="1" t="s">
        <v>38</v>
      </c>
      <c r="E11" s="1" t="n">
        <v>2000</v>
      </c>
      <c r="F11" s="1" t="s">
        <v>3</v>
      </c>
    </row>
    <row r="12" customFormat="false" ht="15" hidden="false" customHeight="false" outlineLevel="0" collapsed="false">
      <c r="A12" s="1" t="s">
        <v>39</v>
      </c>
      <c r="B12" s="1" t="s">
        <v>36</v>
      </c>
      <c r="C12" s="1" t="s">
        <v>3</v>
      </c>
      <c r="D12" s="1" t="s">
        <v>38</v>
      </c>
      <c r="E12" s="1" t="n">
        <v>2000</v>
      </c>
      <c r="F12" s="1" t="s">
        <v>3</v>
      </c>
    </row>
    <row r="13" customFormat="false" ht="15" hidden="false" customHeight="false" outlineLevel="0" collapsed="false">
      <c r="A13" s="1" t="s">
        <v>39</v>
      </c>
      <c r="B13" s="1" t="s">
        <v>36</v>
      </c>
      <c r="C13" s="1" t="s">
        <v>3</v>
      </c>
      <c r="D13" s="1" t="s">
        <v>40</v>
      </c>
      <c r="E13" s="1" t="n">
        <v>200</v>
      </c>
      <c r="F13" s="1" t="s">
        <v>3</v>
      </c>
    </row>
    <row r="14" customFormat="false" ht="15" hidden="false" customHeight="false" outlineLevel="0" collapsed="false">
      <c r="A14" s="1" t="s">
        <v>39</v>
      </c>
      <c r="B14" s="1" t="s">
        <v>15</v>
      </c>
      <c r="C14" s="1" t="s">
        <v>41</v>
      </c>
      <c r="D14" s="1" t="s">
        <v>42</v>
      </c>
      <c r="E14" s="1" t="n">
        <v>2000</v>
      </c>
      <c r="F14" s="1" t="s">
        <v>4</v>
      </c>
    </row>
    <row r="15" customFormat="false" ht="15" hidden="false" customHeight="false" outlineLevel="0" collapsed="false">
      <c r="A15" s="1" t="s">
        <v>39</v>
      </c>
      <c r="B15" s="1" t="s">
        <v>15</v>
      </c>
      <c r="C15" s="1" t="s">
        <v>41</v>
      </c>
      <c r="D15" s="1" t="s">
        <v>42</v>
      </c>
      <c r="E15" s="1" t="n">
        <v>2000</v>
      </c>
      <c r="F15" s="1" t="s">
        <v>4</v>
      </c>
    </row>
    <row r="16" customFormat="false" ht="15" hidden="false" customHeight="false" outlineLevel="0" collapsed="false">
      <c r="A16" s="1" t="s">
        <v>39</v>
      </c>
      <c r="B16" s="1" t="s">
        <v>24</v>
      </c>
      <c r="C16" s="1" t="s">
        <v>43</v>
      </c>
      <c r="D16" s="1" t="s">
        <v>44</v>
      </c>
      <c r="E16" s="1" t="n">
        <v>-1000</v>
      </c>
      <c r="F16" s="1" t="s">
        <v>4</v>
      </c>
    </row>
    <row r="17" customFormat="false" ht="15" hidden="false" customHeight="false" outlineLevel="0" collapsed="false">
      <c r="A17" s="1" t="s">
        <v>45</v>
      </c>
      <c r="B17" s="1" t="s">
        <v>36</v>
      </c>
      <c r="C17" s="1" t="s">
        <v>3</v>
      </c>
      <c r="D17" s="1" t="s">
        <v>46</v>
      </c>
      <c r="E17" s="1" t="n">
        <v>17.75</v>
      </c>
      <c r="F17" s="1" t="s">
        <v>3</v>
      </c>
    </row>
    <row r="18" customFormat="false" ht="15" hidden="false" customHeight="false" outlineLevel="0" collapsed="false">
      <c r="A18" s="1" t="s">
        <v>45</v>
      </c>
      <c r="B18" s="1" t="s">
        <v>36</v>
      </c>
      <c r="C18" s="1" t="s">
        <v>27</v>
      </c>
      <c r="D18" s="1" t="s">
        <v>47</v>
      </c>
      <c r="E18" s="1" t="n">
        <v>3</v>
      </c>
      <c r="F18" s="1" t="s">
        <v>3</v>
      </c>
    </row>
    <row r="19" customFormat="false" ht="15" hidden="false" customHeight="false" outlineLevel="0" collapsed="false">
      <c r="A19" s="1" t="s">
        <v>48</v>
      </c>
      <c r="B19" s="1" t="s">
        <v>36</v>
      </c>
      <c r="C19" s="1" t="s">
        <v>27</v>
      </c>
      <c r="D19" s="1" t="s">
        <v>49</v>
      </c>
      <c r="E19" s="1" t="n">
        <v>12</v>
      </c>
      <c r="F19" s="1" t="s">
        <v>3</v>
      </c>
    </row>
    <row r="20" customFormat="false" ht="15" hidden="false" customHeight="false" outlineLevel="0" collapsed="false">
      <c r="A20" s="1" t="s">
        <v>50</v>
      </c>
      <c r="B20" s="1" t="s">
        <v>36</v>
      </c>
      <c r="C20" s="1" t="s">
        <v>27</v>
      </c>
      <c r="D20" s="3" t="s">
        <v>51</v>
      </c>
      <c r="E20" s="1" t="n">
        <v>33.4</v>
      </c>
      <c r="F20" s="1" t="s">
        <v>3</v>
      </c>
    </row>
    <row r="21" customFormat="false" ht="15" hidden="false" customHeight="false" outlineLevel="0" collapsed="false">
      <c r="A21" s="1" t="s">
        <v>52</v>
      </c>
      <c r="B21" s="1" t="s">
        <v>36</v>
      </c>
      <c r="C21" s="1" t="s">
        <v>53</v>
      </c>
      <c r="D21" s="1" t="s">
        <v>54</v>
      </c>
      <c r="E21" s="1" t="n">
        <v>12.45</v>
      </c>
      <c r="F21" s="1" t="s">
        <v>3</v>
      </c>
    </row>
    <row r="22" customFormat="false" ht="15" hidden="false" customHeight="false" outlineLevel="0" collapsed="false">
      <c r="A22" s="1" t="s">
        <v>55</v>
      </c>
      <c r="B22" s="1" t="s">
        <v>36</v>
      </c>
      <c r="C22" s="1" t="s">
        <v>27</v>
      </c>
      <c r="D22" s="1" t="s">
        <v>56</v>
      </c>
      <c r="E22" s="1" t="n">
        <v>15.56</v>
      </c>
      <c r="F22" s="1" t="s">
        <v>3</v>
      </c>
    </row>
    <row r="23" customFormat="false" ht="15" hidden="false" customHeight="false" outlineLevel="0" collapsed="false">
      <c r="A23" s="1" t="s">
        <v>55</v>
      </c>
      <c r="B23" s="1" t="s">
        <v>36</v>
      </c>
      <c r="C23" s="1" t="s">
        <v>57</v>
      </c>
      <c r="D23" s="1" t="s">
        <v>58</v>
      </c>
      <c r="E23" s="1" t="n">
        <v>80</v>
      </c>
      <c r="F23" s="1" t="s">
        <v>3</v>
      </c>
    </row>
    <row r="24" customFormat="false" ht="15" hidden="false" customHeight="false" outlineLevel="0" collapsed="false">
      <c r="A24" s="1" t="s">
        <v>59</v>
      </c>
      <c r="B24" s="1" t="s">
        <v>36</v>
      </c>
      <c r="C24" s="1" t="s">
        <v>60</v>
      </c>
      <c r="D24" s="1" t="s">
        <v>61</v>
      </c>
      <c r="E24" s="1" t="n">
        <v>67.46</v>
      </c>
      <c r="F24" s="1" t="s">
        <v>3</v>
      </c>
    </row>
    <row r="25" customFormat="false" ht="15" hidden="false" customHeight="false" outlineLevel="0" collapsed="false">
      <c r="A25" s="1" t="s">
        <v>59</v>
      </c>
      <c r="B25" s="1" t="s">
        <v>36</v>
      </c>
      <c r="C25" s="1" t="s">
        <v>53</v>
      </c>
      <c r="D25" s="1" t="s">
        <v>54</v>
      </c>
      <c r="E25" s="1" t="n">
        <v>8.95</v>
      </c>
      <c r="F25" s="1" t="s">
        <v>3</v>
      </c>
    </row>
    <row r="26" customFormat="false" ht="15" hidden="false" customHeight="false" outlineLevel="0" collapsed="false">
      <c r="A26" s="1" t="s">
        <v>59</v>
      </c>
      <c r="B26" s="1" t="s">
        <v>36</v>
      </c>
      <c r="C26" s="1" t="s">
        <v>27</v>
      </c>
      <c r="D26" s="1" t="s">
        <v>62</v>
      </c>
      <c r="E26" s="1" t="n">
        <v>14.07</v>
      </c>
      <c r="F26" s="1" t="s">
        <v>3</v>
      </c>
    </row>
    <row r="27" customFormat="false" ht="15" hidden="false" customHeight="false" outlineLevel="0" collapsed="false">
      <c r="A27" s="1" t="s">
        <v>63</v>
      </c>
      <c r="B27" s="1" t="s">
        <v>36</v>
      </c>
      <c r="C27" s="1" t="s">
        <v>27</v>
      </c>
      <c r="D27" s="1" t="s">
        <v>56</v>
      </c>
      <c r="E27" s="1" t="n">
        <v>15.56</v>
      </c>
      <c r="F27" s="1" t="s">
        <v>3</v>
      </c>
    </row>
    <row r="28" customFormat="false" ht="15" hidden="false" customHeight="false" outlineLevel="0" collapsed="false">
      <c r="A28" s="1" t="s">
        <v>63</v>
      </c>
      <c r="B28" s="1" t="s">
        <v>36</v>
      </c>
      <c r="C28" s="1" t="s">
        <v>64</v>
      </c>
      <c r="D28" s="1" t="s">
        <v>65</v>
      </c>
      <c r="E28" s="1" t="n">
        <v>59.97</v>
      </c>
      <c r="F28" s="1" t="s">
        <v>3</v>
      </c>
    </row>
    <row r="29" customFormat="false" ht="15" hidden="false" customHeight="false" outlineLevel="0" collapsed="false">
      <c r="A29" s="1" t="s">
        <v>66</v>
      </c>
      <c r="B29" s="1" t="s">
        <v>36</v>
      </c>
      <c r="C29" s="1" t="s">
        <v>67</v>
      </c>
      <c r="D29" s="1" t="s">
        <v>68</v>
      </c>
      <c r="E29" s="1" t="n">
        <v>17.08</v>
      </c>
      <c r="F29" s="1" t="s">
        <v>3</v>
      </c>
    </row>
    <row r="30" customFormat="false" ht="15" hidden="false" customHeight="false" outlineLevel="0" collapsed="false">
      <c r="A30" s="1" t="s">
        <v>66</v>
      </c>
      <c r="B30" s="1" t="s">
        <v>36</v>
      </c>
      <c r="C30" s="1" t="s">
        <v>27</v>
      </c>
      <c r="D30" s="1" t="s">
        <v>56</v>
      </c>
      <c r="E30" s="1" t="n">
        <v>15.5</v>
      </c>
      <c r="F30" s="1" t="s">
        <v>3</v>
      </c>
    </row>
    <row r="31" customFormat="false" ht="15" hidden="false" customHeight="false" outlineLevel="0" collapsed="false">
      <c r="A31" s="1" t="s">
        <v>66</v>
      </c>
      <c r="B31" s="1" t="s">
        <v>36</v>
      </c>
      <c r="C31" s="1" t="s">
        <v>3</v>
      </c>
      <c r="D31" s="1" t="s">
        <v>40</v>
      </c>
      <c r="E31" s="1" t="n">
        <v>97.96</v>
      </c>
      <c r="F31" s="1" t="s">
        <v>3</v>
      </c>
    </row>
    <row r="32" customFormat="false" ht="15" hidden="false" customHeight="false" outlineLevel="0" collapsed="false">
      <c r="A32" s="1" t="s">
        <v>66</v>
      </c>
      <c r="B32" s="1" t="s">
        <v>36</v>
      </c>
      <c r="C32" s="1" t="s">
        <v>27</v>
      </c>
      <c r="D32" s="3" t="s">
        <v>51</v>
      </c>
      <c r="E32" s="1" t="n">
        <v>34.3</v>
      </c>
      <c r="F32" s="1" t="s">
        <v>3</v>
      </c>
    </row>
    <row r="33" customFormat="false" ht="15" hidden="false" customHeight="false" outlineLevel="0" collapsed="false">
      <c r="A33" s="1" t="s">
        <v>69</v>
      </c>
      <c r="B33" s="1" t="s">
        <v>36</v>
      </c>
      <c r="C33" s="1" t="s">
        <v>67</v>
      </c>
      <c r="D33" s="1" t="s">
        <v>70</v>
      </c>
      <c r="E33" s="1" t="n">
        <v>23</v>
      </c>
      <c r="F33" s="1" t="s">
        <v>3</v>
      </c>
    </row>
    <row r="34" customFormat="false" ht="15" hidden="false" customHeight="false" outlineLevel="0" collapsed="false">
      <c r="A34" s="1" t="s">
        <v>69</v>
      </c>
      <c r="B34" s="1" t="s">
        <v>36</v>
      </c>
      <c r="C34" s="1" t="s">
        <v>67</v>
      </c>
      <c r="D34" s="1" t="s">
        <v>68</v>
      </c>
      <c r="E34" s="1" t="n">
        <v>9.45</v>
      </c>
      <c r="F34" s="1" t="s">
        <v>3</v>
      </c>
    </row>
    <row r="35" customFormat="false" ht="15" hidden="false" customHeight="false" outlineLevel="0" collapsed="false">
      <c r="A35" s="1" t="s">
        <v>69</v>
      </c>
      <c r="B35" s="1" t="s">
        <v>36</v>
      </c>
      <c r="C35" s="1" t="s">
        <v>27</v>
      </c>
      <c r="D35" s="1" t="s">
        <v>56</v>
      </c>
      <c r="E35" s="1" t="n">
        <v>15.5</v>
      </c>
      <c r="F35" s="1" t="s">
        <v>3</v>
      </c>
    </row>
    <row r="36" customFormat="false" ht="15" hidden="false" customHeight="false" outlineLevel="0" collapsed="false">
      <c r="A36" s="1" t="s">
        <v>69</v>
      </c>
      <c r="B36" s="1" t="s">
        <v>15</v>
      </c>
      <c r="C36" s="1" t="s">
        <v>71</v>
      </c>
      <c r="D36" s="1" t="s">
        <v>72</v>
      </c>
      <c r="E36" s="1" t="n">
        <v>748.41</v>
      </c>
      <c r="F36" s="1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22"/>
  </cols>
  <sheetData>
    <row r="1" customFormat="false" ht="15" hidden="false" customHeight="false" outlineLevel="0" collapsed="false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</row>
    <row r="2" customFormat="false" ht="15" hidden="false" customHeight="false" outlineLevel="0" collapsed="false">
      <c r="A2" s="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</cols>
  <sheetData>
    <row r="1" customFormat="false" ht="15" hidden="false" customHeight="false" outlineLevel="0" collapsed="false">
      <c r="A1" s="2" t="s">
        <v>10</v>
      </c>
      <c r="B1" s="2" t="s">
        <v>79</v>
      </c>
    </row>
    <row r="2" customFormat="false" ht="15" hidden="false" customHeight="false" outlineLevel="0" collapsed="false">
      <c r="A2" s="1" t="s">
        <v>80</v>
      </c>
      <c r="B2" s="1" t="n">
        <v>62</v>
      </c>
    </row>
    <row r="3" customFormat="false" ht="15" hidden="false" customHeight="false" outlineLevel="0" collapsed="false">
      <c r="A3" s="1" t="s">
        <v>81</v>
      </c>
      <c r="B3" s="1" t="n">
        <v>18</v>
      </c>
    </row>
    <row r="4" customFormat="false" ht="15" hidden="false" customHeight="false" outlineLevel="0" collapsed="false">
      <c r="A4" s="1" t="s">
        <v>82</v>
      </c>
      <c r="B4" s="1" t="n">
        <v>23</v>
      </c>
    </row>
    <row r="5" customFormat="false" ht="15" hidden="false" customHeight="false" outlineLevel="0" collapsed="false">
      <c r="A5" s="1" t="s">
        <v>83</v>
      </c>
      <c r="B5" s="1" t="n">
        <v>100</v>
      </c>
    </row>
    <row r="6" customFormat="false" ht="15" hidden="false" customHeight="false" outlineLevel="0" collapsed="false">
      <c r="A6" s="1" t="s">
        <v>84</v>
      </c>
      <c r="B6" s="1" t="n">
        <v>256</v>
      </c>
    </row>
    <row r="7" customFormat="false" ht="15" hidden="false" customHeight="false" outlineLevel="0" collapsed="false">
      <c r="A7" s="1" t="s">
        <v>85</v>
      </c>
      <c r="B7" s="1" t="n">
        <v>100</v>
      </c>
    </row>
    <row r="8" customFormat="false" ht="15" hidden="false" customHeight="false" outlineLevel="0" collapsed="false">
      <c r="A8" s="1" t="s">
        <v>86</v>
      </c>
      <c r="B8" s="1" t="n">
        <v>500</v>
      </c>
    </row>
    <row r="9" customFormat="false" ht="15" hidden="false" customHeight="false" outlineLevel="0" collapsed="false">
      <c r="A9" s="1" t="s">
        <v>87</v>
      </c>
      <c r="B9" s="1" t="n">
        <v>34</v>
      </c>
    </row>
    <row r="10" customFormat="false" ht="15" hidden="false" customHeight="false" outlineLevel="0" collapsed="false">
      <c r="A10" s="1" t="s">
        <v>88</v>
      </c>
      <c r="B10" s="1" t="n">
        <v>42</v>
      </c>
    </row>
    <row r="11" customFormat="false" ht="15" hidden="false" customHeight="false" outlineLevel="0" collapsed="false">
      <c r="A11" s="1" t="s">
        <v>89</v>
      </c>
      <c r="B11" s="1" t="n">
        <v>58</v>
      </c>
    </row>
    <row r="12" customFormat="false" ht="15" hidden="false" customHeight="false" outlineLevel="0" collapsed="false">
      <c r="A12" s="1" t="s">
        <v>90</v>
      </c>
      <c r="B12" s="1" t="n">
        <v>300</v>
      </c>
    </row>
    <row r="13" customFormat="false" ht="15" hidden="false" customHeight="false" outlineLevel="0" collapsed="false">
      <c r="A13" s="1" t="s">
        <v>91</v>
      </c>
      <c r="B13" s="1" t="n">
        <v>500</v>
      </c>
    </row>
    <row r="14" customFormat="false" ht="15" hidden="false" customHeight="false" outlineLevel="0" collapsed="false">
      <c r="A14" s="1" t="s">
        <v>92</v>
      </c>
      <c r="B14" s="1" t="n">
        <f aca="false">SUM(B2:B13)</f>
        <v>1993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2"/>
  </cols>
  <sheetData>
    <row r="1" customFormat="false" ht="15" hidden="false" customHeight="false" outlineLevel="0" collapsed="false">
      <c r="A1" s="2" t="s">
        <v>8</v>
      </c>
      <c r="B1" s="2" t="s">
        <v>3</v>
      </c>
      <c r="C1" s="2" t="s">
        <v>93</v>
      </c>
      <c r="D1" s="2" t="s">
        <v>94</v>
      </c>
      <c r="E1" s="2" t="s">
        <v>4</v>
      </c>
      <c r="F1" s="2" t="s">
        <v>95</v>
      </c>
      <c r="G1" s="2" t="s">
        <v>96</v>
      </c>
      <c r="H1" s="2" t="s">
        <v>97</v>
      </c>
    </row>
    <row r="2" customFormat="false" ht="15" hidden="false" customHeight="false" outlineLevel="0" collapsed="false">
      <c r="A2" s="1" t="s">
        <v>39</v>
      </c>
      <c r="B2" s="1" t="n">
        <v>2000</v>
      </c>
      <c r="C2" s="1" t="n">
        <v>0</v>
      </c>
      <c r="D2" s="1" t="n">
        <v>0</v>
      </c>
      <c r="E2" s="1" t="n">
        <v>35326.96</v>
      </c>
      <c r="F2" s="1" t="n">
        <v>2775</v>
      </c>
      <c r="G2" s="1" t="n">
        <v>0</v>
      </c>
      <c r="H2" s="1" t="n">
        <f aca="false">SUM(B2:G2)</f>
        <v>40101.96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2"/>
  </cols>
  <sheetData>
    <row r="1" customFormat="false" ht="15" hidden="false" customHeight="false" outlineLevel="0" collapsed="false">
      <c r="A1" s="2" t="s">
        <v>98</v>
      </c>
      <c r="B1" s="2" t="s">
        <v>99</v>
      </c>
      <c r="C1" s="2" t="s">
        <v>100</v>
      </c>
      <c r="D1" s="2" t="s">
        <v>101</v>
      </c>
    </row>
    <row r="2" customFormat="false" ht="15" hidden="false" customHeight="false" outlineLevel="0" collapsed="false">
      <c r="A2" s="1" t="s">
        <v>102</v>
      </c>
      <c r="B2" s="1" t="n">
        <v>0</v>
      </c>
      <c r="C2" s="1" t="n">
        <v>11000</v>
      </c>
      <c r="D2" s="1" t="n">
        <f aca="false">C2-B2</f>
        <v>11000</v>
      </c>
    </row>
    <row r="3" customFormat="false" ht="15" hidden="false" customHeight="false" outlineLevel="0" collapsed="false">
      <c r="A3" s="1" t="s">
        <v>103</v>
      </c>
      <c r="B3" s="1" t="n">
        <v>5000</v>
      </c>
      <c r="C3" s="1" t="n">
        <v>10000</v>
      </c>
      <c r="D3" s="1" t="n">
        <f aca="false">C3-B3</f>
        <v>5000</v>
      </c>
    </row>
    <row r="4" customFormat="false" ht="15" hidden="false" customHeight="false" outlineLevel="0" collapsed="false">
      <c r="A4" s="1" t="s">
        <v>104</v>
      </c>
      <c r="B4" s="1" t="n">
        <v>16000</v>
      </c>
      <c r="C4" s="1" t="n">
        <v>40000</v>
      </c>
      <c r="D4" s="1" t="n">
        <f aca="false">C4-B4</f>
        <v>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</cols>
  <sheetData>
    <row r="1" customFormat="false" ht="15" hidden="false" customHeight="false" outlineLevel="0" collapsed="false">
      <c r="A1" s="2" t="s">
        <v>11</v>
      </c>
      <c r="B1" s="2" t="s">
        <v>1</v>
      </c>
    </row>
    <row r="2" customFormat="false" ht="15" hidden="false" customHeight="false" outlineLevel="0" collapsed="false">
      <c r="A2" s="1" t="s">
        <v>105</v>
      </c>
      <c r="B2" s="1" t="n">
        <v>11000</v>
      </c>
    </row>
    <row r="3" customFormat="false" ht="15" hidden="false" customHeight="false" outlineLevel="0" collapsed="false">
      <c r="A3" s="1" t="s">
        <v>106</v>
      </c>
      <c r="B3" s="1" t="n">
        <v>0</v>
      </c>
    </row>
    <row r="4" customFormat="false" ht="15" hidden="false" customHeight="false" outlineLevel="0" collapsed="false">
      <c r="A4" s="1" t="s">
        <v>107</v>
      </c>
      <c r="B4" s="1" t="n">
        <f aca="false">B2-B3</f>
        <v>11000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01"/>
  </cols>
  <sheetData>
    <row r="1" customFormat="false" ht="15" hidden="false" customHeight="false" outlineLevel="0" collapsed="false">
      <c r="A1" s="2" t="s">
        <v>10</v>
      </c>
      <c r="B1" s="2" t="s">
        <v>1</v>
      </c>
    </row>
    <row r="2" customFormat="false" ht="15" hidden="false" customHeight="false" outlineLevel="0" collapsed="false">
      <c r="A2" s="1" t="s">
        <v>4</v>
      </c>
      <c r="B2" s="1" t="n">
        <f aca="false">Património!E2</f>
        <v>35326.96</v>
      </c>
    </row>
    <row r="3" customFormat="false" ht="15" hidden="false" customHeight="false" outlineLevel="0" collapsed="false">
      <c r="A3" s="1" t="s">
        <v>102</v>
      </c>
      <c r="B3" s="1" t="n">
        <v>11000</v>
      </c>
    </row>
    <row r="4" customFormat="false" ht="15" hidden="false" customHeight="false" outlineLevel="0" collapsed="false">
      <c r="A4" s="1" t="s">
        <v>103</v>
      </c>
      <c r="B4" s="1" t="n">
        <v>10000</v>
      </c>
    </row>
    <row r="5" customFormat="false" ht="15" hidden="false" customHeight="false" outlineLevel="0" collapsed="false">
      <c r="A5" s="1" t="s">
        <v>108</v>
      </c>
      <c r="B5" s="1" t="n">
        <f aca="false">B2-B3-B4</f>
        <v>14326.96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81"/>
  </cols>
  <sheetData>
    <row r="1" customFormat="false" ht="15" hidden="false" customHeight="false" outlineLevel="0" collapsed="false">
      <c r="A1" s="2" t="s">
        <v>109</v>
      </c>
      <c r="B1" s="2" t="s">
        <v>1</v>
      </c>
    </row>
    <row r="2" customFormat="false" ht="15" hidden="false" customHeight="false" outlineLevel="0" collapsed="false">
      <c r="A2" s="1" t="s">
        <v>4</v>
      </c>
      <c r="B2" s="1" t="n">
        <v>35326.96</v>
      </c>
    </row>
    <row r="3" customFormat="false" ht="15" hidden="false" customHeight="false" outlineLevel="0" collapsed="false">
      <c r="A3" s="1" t="s">
        <v>110</v>
      </c>
      <c r="B3" s="1" t="n">
        <v>850</v>
      </c>
    </row>
    <row r="4" customFormat="false" ht="15" hidden="false" customHeight="false" outlineLevel="0" collapsed="false">
      <c r="A4" s="1" t="s">
        <v>111</v>
      </c>
      <c r="B4" s="1" t="n">
        <v>1900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73</v>
      </c>
      <c r="B1" s="2" t="s">
        <v>112</v>
      </c>
    </row>
    <row r="2" customFormat="false" ht="15" hidden="false" customHeight="false" outlineLevel="0" collapsed="false">
      <c r="A2" s="1" t="s">
        <v>113</v>
      </c>
      <c r="B2" s="1" t="n">
        <f aca="false">Património!H2</f>
        <v>40101.96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2026-06-30T11:32:19Z</dcterms:created>
  <dc:creator>openpyxl</dc:creator>
  <dc:description/>
  <dc:language>pt-PT</dc:language>
  <cp:lastModifiedBy/>
  <dcterms:modified xsi:type="dcterms:W3CDTF">2026-07-09T15:30:48Z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